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Datos del contenido" sheetId="2" state="visible" r:id="rId4"/>
  </sheets>
  <definedNames>
    <definedName function="false" hidden="true" localSheetId="0" name="_xlnm._FilterDatabase" vbProcedure="false">Productos!$A$1:$G$51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<sst xmlns="http://schemas.openxmlformats.org/spreadsheetml/2006/main" count="213" uniqueCount="164">
  <si>
    <t xml:space="preserve">Marca</t>
  </si>
  <si>
    <t xml:space="preserve">Producto</t>
  </si>
  <si>
    <t xml:space="preserve">Cantidad</t>
  </si>
  <si>
    <t xml:space="preserve">Tonos</t>
  </si>
  <si>
    <t xml:space="preserve">Precio del Mercado</t>
  </si>
  <si>
    <t xml:space="preserve">Precio de Venta ($)</t>
  </si>
  <si>
    <t xml:space="preserve">Total Venta ($)</t>
  </si>
  <si>
    <t xml:space="preserve">Kevin&amp;Coco</t>
  </si>
  <si>
    <t xml:space="preserve">Matte lip gloss</t>
  </si>
  <si>
    <t xml:space="preserve">#01,03,04,02</t>
  </si>
  <si>
    <t xml:space="preserve">$12,$15</t>
  </si>
  <si>
    <t xml:space="preserve">Concealer Flawless Lasting</t>
  </si>
  <si>
    <t xml:space="preserve">#03 #01</t>
  </si>
  <si>
    <t xml:space="preserve">$15,$19</t>
  </si>
  <si>
    <t xml:space="preserve">Liquid eyeliner</t>
  </si>
  <si>
    <t xml:space="preserve">#1073</t>
  </si>
  <si>
    <t xml:space="preserve">$10</t>
  </si>
  <si>
    <t xml:space="preserve">Mirror lip glase</t>
  </si>
  <si>
    <t xml:space="preserve">#01,03,05</t>
  </si>
  <si>
    <t xml:space="preserve">$9,$10</t>
  </si>
  <si>
    <t xml:space="preserve">Flower lip gloss</t>
  </si>
  <si>
    <t xml:space="preserve">#1059</t>
  </si>
  <si>
    <t xml:space="preserve">$10,$12</t>
  </si>
  <si>
    <t xml:space="preserve">Cover Girl</t>
  </si>
  <si>
    <t xml:space="preserve">Tinta labial out last lipstain</t>
  </si>
  <si>
    <t xml:space="preserve">3#93, 3#95, 2#92, 2#96, 2#91</t>
  </si>
  <si>
    <t xml:space="preserve">$9</t>
  </si>
  <si>
    <t xml:space="preserve">Maybelline</t>
  </si>
  <si>
    <t xml:space="preserve">Tatto studio eyeliner</t>
  </si>
  <si>
    <t xml:space="preserve">#002</t>
  </si>
  <si>
    <t xml:space="preserve">$12,$16</t>
  </si>
  <si>
    <t xml:space="preserve">Primer Perfector</t>
  </si>
  <si>
    <t xml:space="preserve">2 #01, 2 #05</t>
  </si>
  <si>
    <t xml:space="preserve">$8,$12</t>
  </si>
  <si>
    <t xml:space="preserve">Base Fit me</t>
  </si>
  <si>
    <t xml:space="preserve">#115</t>
  </si>
  <si>
    <t xml:space="preserve">$9,$13</t>
  </si>
  <si>
    <t xml:space="preserve">Super stay matte ink</t>
  </si>
  <si>
    <t xml:space="preserve">2 #04, 2 #29</t>
  </si>
  <si>
    <t xml:space="preserve">$10,$15</t>
  </si>
  <si>
    <t xml:space="preserve">Butter cream Green Edition</t>
  </si>
  <si>
    <t xml:space="preserve">#004</t>
  </si>
  <si>
    <t xml:space="preserve">$6,$8</t>
  </si>
  <si>
    <t xml:space="preserve">Lipstick ultimate</t>
  </si>
  <si>
    <t xml:space="preserve">#668</t>
  </si>
  <si>
    <t xml:space="preserve">$13,99</t>
  </si>
  <si>
    <t xml:space="preserve">Beauty Creations</t>
  </si>
  <si>
    <t xml:space="preserve">Set de ducha Own your beauty</t>
  </si>
  <si>
    <t xml:space="preserve">$12</t>
  </si>
  <si>
    <t xml:space="preserve">Locion corporal Double Layer</t>
  </si>
  <si>
    <t xml:space="preserve">#FC-DL4, #6</t>
  </si>
  <si>
    <t xml:space="preserve">$8,$15</t>
  </si>
  <si>
    <t xml:space="preserve">Banana setting power</t>
  </si>
  <si>
    <t xml:space="preserve">#1, #2</t>
  </si>
  <si>
    <t xml:space="preserve">Brow soap</t>
  </si>
  <si>
    <t xml:space="preserve">#BW-1</t>
  </si>
  <si>
    <t xml:space="preserve">$6</t>
  </si>
  <si>
    <t xml:space="preserve">Perfecting bronzer matte</t>
  </si>
  <si>
    <t xml:space="preserve">#BR04</t>
  </si>
  <si>
    <t xml:space="preserve">$7</t>
  </si>
  <si>
    <t xml:space="preserve">Sombra Bare Naked</t>
  </si>
  <si>
    <t xml:space="preserve">#ETP9-8</t>
  </si>
  <si>
    <t xml:space="preserve">Sombra Nude X mini</t>
  </si>
  <si>
    <t xml:space="preserve">#NXE-9B, #NXE-9A</t>
  </si>
  <si>
    <t xml:space="preserve">$12,$18</t>
  </si>
  <si>
    <t xml:space="preserve">Wooden lip pencil</t>
  </si>
  <si>
    <t xml:space="preserve">BCWLL-#08,#03,#10,#12,#01</t>
  </si>
  <si>
    <t xml:space="preserve">$3,$7</t>
  </si>
  <si>
    <t xml:space="preserve">The creme Shop</t>
  </si>
  <si>
    <t xml:space="preserve">Macarron lip balm</t>
  </si>
  <si>
    <t xml:space="preserve">HCMOO#887</t>
  </si>
  <si>
    <t xml:space="preserve">$10.50</t>
  </si>
  <si>
    <t xml:space="preserve">Creme blush balm</t>
  </si>
  <si>
    <t xml:space="preserve">HKB00#204</t>
  </si>
  <si>
    <t xml:space="preserve">$15</t>
  </si>
  <si>
    <t xml:space="preserve">Agua de rosas</t>
  </si>
  <si>
    <t xml:space="preserve">HKSPS#4949</t>
  </si>
  <si>
    <t xml:space="preserve">$16</t>
  </si>
  <si>
    <t xml:space="preserve">Kleancolor</t>
  </si>
  <si>
    <t xml:space="preserve">Polvos Featherlight</t>
  </si>
  <si>
    <t xml:space="preserve">PP#2835</t>
  </si>
  <si>
    <t xml:space="preserve">Italia Deluxe</t>
  </si>
  <si>
    <t xml:space="preserve">Polvos Two Way Mineral</t>
  </si>
  <si>
    <t xml:space="preserve">#809, #807</t>
  </si>
  <si>
    <t xml:space="preserve">LA Girl</t>
  </si>
  <si>
    <t xml:space="preserve">Polvos pro face</t>
  </si>
  <si>
    <t xml:space="preserve">GPP#605</t>
  </si>
  <si>
    <t xml:space="preserve">$7,$10</t>
  </si>
  <si>
    <t xml:space="preserve">Base Skin tint</t>
  </si>
  <si>
    <t xml:space="preserve">CLM-#419</t>
  </si>
  <si>
    <t xml:space="preserve">$8,$6</t>
  </si>
  <si>
    <t xml:space="preserve">Amuse</t>
  </si>
  <si>
    <t xml:space="preserve">Lapiz ceja Magic Flick</t>
  </si>
  <si>
    <t xml:space="preserve">#01,02,03</t>
  </si>
  <si>
    <t xml:space="preserve">$5</t>
  </si>
  <si>
    <t xml:space="preserve">Sombra Emerald City</t>
  </si>
  <si>
    <t xml:space="preserve">FK9781MIX-#1,#2,#3,#4</t>
  </si>
  <si>
    <t xml:space="preserve">Polvos long lasting matte</t>
  </si>
  <si>
    <t xml:space="preserve">#116MIX-A4, A3</t>
  </si>
  <si>
    <t xml:space="preserve">$7,$12</t>
  </si>
  <si>
    <t xml:space="preserve">Polvo Diamond matte pressed</t>
  </si>
  <si>
    <t xml:space="preserve">#04, #03</t>
  </si>
  <si>
    <t xml:space="preserve">Bronzer Sunny vibes</t>
  </si>
  <si>
    <t xml:space="preserve">298MIX-3, 2</t>
  </si>
  <si>
    <t xml:space="preserve">$5,$7</t>
  </si>
  <si>
    <t xml:space="preserve">Concealer Cover it</t>
  </si>
  <si>
    <t xml:space="preserve">#04,#05,#06</t>
  </si>
  <si>
    <t xml:space="preserve">Base Matte Gala velvet skin</t>
  </si>
  <si>
    <t xml:space="preserve">#06</t>
  </si>
  <si>
    <t xml:space="preserve">$8</t>
  </si>
  <si>
    <t xml:space="preserve">Serum Facial Collagen</t>
  </si>
  <si>
    <t xml:space="preserve">$15,$12</t>
  </si>
  <si>
    <t xml:space="preserve">Totemica</t>
  </si>
  <si>
    <t xml:space="preserve">Lip oil exotic translucency</t>
  </si>
  <si>
    <t xml:space="preserve">L#11,#12,#13,#14</t>
  </si>
  <si>
    <t xml:space="preserve">Gel tinte</t>
  </si>
  <si>
    <t xml:space="preserve">F#21,22,23,24</t>
  </si>
  <si>
    <t xml:space="preserve">Beauty blender</t>
  </si>
  <si>
    <t xml:space="preserve">Revlon</t>
  </si>
  <si>
    <t xml:space="preserve">Base Iluminance</t>
  </si>
  <si>
    <t xml:space="preserve">#105</t>
  </si>
  <si>
    <t xml:space="preserve">$20,$25</t>
  </si>
  <si>
    <t xml:space="preserve">L'Oreal</t>
  </si>
  <si>
    <t xml:space="preserve">Base True match lumi</t>
  </si>
  <si>
    <t xml:space="preserve">#24</t>
  </si>
  <si>
    <t xml:space="preserve">$20,$24</t>
  </si>
  <si>
    <t xml:space="preserve">NYX</t>
  </si>
  <si>
    <t xml:space="preserve">Jumbo Lash</t>
  </si>
  <si>
    <t xml:space="preserve">LGLA#03</t>
  </si>
  <si>
    <t xml:space="preserve">$8,$10</t>
  </si>
  <si>
    <t xml:space="preserve">Romantic Beauty</t>
  </si>
  <si>
    <t xml:space="preserve">Rimel Fiber Flirt</t>
  </si>
  <si>
    <t xml:space="preserve">MT-#515</t>
  </si>
  <si>
    <t xml:space="preserve">Lasting brow tint</t>
  </si>
  <si>
    <t xml:space="preserve">BG-#2124</t>
  </si>
  <si>
    <t xml:space="preserve">Kara Beauty</t>
  </si>
  <si>
    <t xml:space="preserve">Sombra Amore</t>
  </si>
  <si>
    <t xml:space="preserve">ES#122</t>
  </si>
  <si>
    <t xml:space="preserve">$25</t>
  </si>
  <si>
    <t xml:space="preserve">Sombra LOFSHE Nice wonder the sea</t>
  </si>
  <si>
    <t xml:space="preserve">LF#1119</t>
  </si>
  <si>
    <t xml:space="preserve">$14</t>
  </si>
  <si>
    <t xml:space="preserve">Sombra BeBella My orange squeeze</t>
  </si>
  <si>
    <t xml:space="preserve">BB-E015</t>
  </si>
  <si>
    <t xml:space="preserve">Revolution</t>
  </si>
  <si>
    <t xml:space="preserve">Crema Restauradora Plex</t>
  </si>
  <si>
    <t xml:space="preserve">Xime Beauty</t>
  </si>
  <si>
    <t xml:space="preserve">Primer Stay Slay</t>
  </si>
  <si>
    <t xml:space="preserve">XB-787</t>
  </si>
  <si>
    <t xml:space="preserve">Prolux</t>
  </si>
  <si>
    <t xml:space="preserve">Primer Perfect Defense</t>
  </si>
  <si>
    <t xml:space="preserve">K-213</t>
  </si>
  <si>
    <t xml:space="preserve">Simply Bella</t>
  </si>
  <si>
    <t xml:space="preserve">Olive oil y Aloe Vera Jabon</t>
  </si>
  <si>
    <t xml:space="preserve">SIM001</t>
  </si>
  <si>
    <t xml:space="preserve">TOTAL</t>
  </si>
  <si>
    <t xml:space="preserve">DATOS DEL CONTENIDO</t>
  </si>
  <si>
    <t xml:space="preserve">Costo de envío ($)</t>
  </si>
  <si>
    <t xml:space="preserve">Costo de caja ($)</t>
  </si>
  <si>
    <t xml:space="preserve">Peso (LB)</t>
  </si>
  <si>
    <t xml:space="preserve">Artículos según PDF (unidades)</t>
  </si>
  <si>
    <t xml:space="preserve">Artículos sumados en la tabla</t>
  </si>
  <si>
    <t xml:space="preserve">Diferencia</t>
  </si>
  <si>
    <t xml:space="preserve">Notas: Serum Facial Collagen tenía el precio de venta ilegible ('n') y Crema Restauradora Plex no tenía cantidad en el PDF; se dejaron en blanco. Los productos de la página 2 sin marca se asignaron a Amuse (continuación de la lista).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</si>
</sst>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9D18E"/>
        <bgColor rgb="FFBFBFBF"/>
      </patternFill>
    </fill>
    <fill>
      <patternFill patternType="solid">
        <fgColor rgb="FFFFD966"/>
        <bgColor rgb="FFFFFF99"/>
      </patternFill>
    </fill>
    <fill>
      <patternFill patternType="solid">
        <fgColor rgb="FF8EA9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A9D18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4</v>
      </c>
      <c r="D2" s="4" t="s">
        <v>9</v>
      </c>
      <c r="E2" s="2" t="s">
        <v>10</v>
      </c>
      <c r="F2" s="5" t="n">
        <v>13.99</v>
      </c>
      <c r="G2" s="5" t="n">
        <f aca="false">IF(OR(C2="",F2=""),"",C2*F2)</f>
        <v>55.96</v>
      </c>
    </row>
    <row r="3" customFormat="false" ht="15" hidden="false" customHeight="false" outlineLevel="0" collapsed="false">
      <c r="A3" s="2" t="s">
        <v>7</v>
      </c>
      <c r="B3" s="2" t="s">
        <v>11</v>
      </c>
      <c r="C3" s="3" t="n">
        <v>2</v>
      </c>
      <c r="D3" s="4" t="s">
        <v>12</v>
      </c>
      <c r="E3" s="2" t="s">
        <v>13</v>
      </c>
      <c r="F3" s="5" t="n">
        <v>17.5</v>
      </c>
      <c r="G3" s="5" t="n">
        <f aca="false">IF(OR(C3="",F3=""),"",C3*F3)</f>
        <v>35</v>
      </c>
    </row>
    <row r="4" customFormat="false" ht="15" hidden="false" customHeight="false" outlineLevel="0" collapsed="false">
      <c r="A4" s="2" t="s">
        <v>7</v>
      </c>
      <c r="B4" s="2" t="s">
        <v>14</v>
      </c>
      <c r="C4" s="3" t="n">
        <v>4</v>
      </c>
      <c r="D4" s="4" t="s">
        <v>15</v>
      </c>
      <c r="E4" s="2" t="s">
        <v>16</v>
      </c>
      <c r="F4" s="5" t="n">
        <v>12</v>
      </c>
      <c r="G4" s="5" t="n">
        <f aca="false">IF(OR(C4="",F4=""),"",C4*F4)</f>
        <v>48</v>
      </c>
    </row>
    <row r="5" customFormat="false" ht="15" hidden="false" customHeight="false" outlineLevel="0" collapsed="false">
      <c r="A5" s="2" t="s">
        <v>7</v>
      </c>
      <c r="B5" s="2" t="s">
        <v>17</v>
      </c>
      <c r="C5" s="3" t="n">
        <v>3</v>
      </c>
      <c r="D5" s="4" t="s">
        <v>18</v>
      </c>
      <c r="E5" s="2" t="s">
        <v>19</v>
      </c>
      <c r="F5" s="5" t="n">
        <v>11.5</v>
      </c>
      <c r="G5" s="5" t="n">
        <f aca="false">IF(OR(C5="",F5=""),"",C5*F5)</f>
        <v>34.5</v>
      </c>
    </row>
    <row r="6" customFormat="false" ht="15" hidden="false" customHeight="false" outlineLevel="0" collapsed="false">
      <c r="A6" s="2" t="s">
        <v>7</v>
      </c>
      <c r="B6" s="2" t="s">
        <v>20</v>
      </c>
      <c r="C6" s="3" t="n">
        <v>2</v>
      </c>
      <c r="D6" s="4" t="s">
        <v>21</v>
      </c>
      <c r="E6" s="2" t="s">
        <v>22</v>
      </c>
      <c r="F6" s="5" t="n">
        <v>13.99</v>
      </c>
      <c r="G6" s="5" t="n">
        <f aca="false">IF(OR(C6="",F6=""),"",C6*F6)</f>
        <v>27.98</v>
      </c>
    </row>
    <row r="7" customFormat="false" ht="15" hidden="false" customHeight="false" outlineLevel="0" collapsed="false">
      <c r="A7" s="2" t="s">
        <v>23</v>
      </c>
      <c r="B7" s="2" t="s">
        <v>24</v>
      </c>
      <c r="C7" s="3" t="n">
        <v>12</v>
      </c>
      <c r="D7" s="4" t="s">
        <v>25</v>
      </c>
      <c r="E7" s="2" t="s">
        <v>26</v>
      </c>
      <c r="F7" s="5" t="n">
        <v>11</v>
      </c>
      <c r="G7" s="5" t="n">
        <f aca="false">IF(OR(C7="",F7=""),"",C7*F7)</f>
        <v>132</v>
      </c>
    </row>
    <row r="8" customFormat="false" ht="15" hidden="false" customHeight="false" outlineLevel="0" collapsed="false">
      <c r="A8" s="2" t="s">
        <v>27</v>
      </c>
      <c r="B8" s="2" t="s">
        <v>28</v>
      </c>
      <c r="C8" s="3" t="n">
        <v>2</v>
      </c>
      <c r="D8" s="4" t="s">
        <v>29</v>
      </c>
      <c r="E8" s="2" t="s">
        <v>30</v>
      </c>
      <c r="F8" s="5" t="n">
        <v>18.5</v>
      </c>
      <c r="G8" s="5" t="n">
        <f aca="false">IF(OR(C8="",F8=""),"",C8*F8)</f>
        <v>37</v>
      </c>
    </row>
    <row r="9" customFormat="false" ht="15" hidden="false" customHeight="false" outlineLevel="0" collapsed="false">
      <c r="A9" s="2" t="s">
        <v>27</v>
      </c>
      <c r="B9" s="2" t="s">
        <v>31</v>
      </c>
      <c r="C9" s="3" t="n">
        <v>4</v>
      </c>
      <c r="D9" s="4" t="s">
        <v>32</v>
      </c>
      <c r="E9" s="2" t="s">
        <v>33</v>
      </c>
      <c r="F9" s="5" t="n">
        <v>20</v>
      </c>
      <c r="G9" s="5" t="n">
        <f aca="false">IF(OR(C9="",F9=""),"",C9*F9)</f>
        <v>80</v>
      </c>
    </row>
    <row r="10" customFormat="false" ht="15" hidden="false" customHeight="false" outlineLevel="0" collapsed="false">
      <c r="A10" s="2" t="s">
        <v>27</v>
      </c>
      <c r="B10" s="2" t="s">
        <v>34</v>
      </c>
      <c r="C10" s="3" t="n">
        <v>2</v>
      </c>
      <c r="D10" s="4" t="s">
        <v>35</v>
      </c>
      <c r="E10" s="2" t="s">
        <v>36</v>
      </c>
      <c r="F10" s="5" t="n">
        <v>13.99</v>
      </c>
      <c r="G10" s="5" t="n">
        <f aca="false">IF(OR(C10="",F10=""),"",C10*F10)</f>
        <v>27.98</v>
      </c>
    </row>
    <row r="11" customFormat="false" ht="15" hidden="false" customHeight="false" outlineLevel="0" collapsed="false">
      <c r="A11" s="2" t="s">
        <v>27</v>
      </c>
      <c r="B11" s="2" t="s">
        <v>37</v>
      </c>
      <c r="C11" s="3" t="n">
        <v>4</v>
      </c>
      <c r="D11" s="4" t="s">
        <v>38</v>
      </c>
      <c r="E11" s="2" t="s">
        <v>39</v>
      </c>
      <c r="F11" s="5" t="n">
        <v>16</v>
      </c>
      <c r="G11" s="5" t="n">
        <f aca="false">IF(OR(C11="",F11=""),"",C11*F11)</f>
        <v>64</v>
      </c>
    </row>
    <row r="12" customFormat="false" ht="15" hidden="false" customHeight="false" outlineLevel="0" collapsed="false">
      <c r="A12" s="2" t="s">
        <v>27</v>
      </c>
      <c r="B12" s="2" t="s">
        <v>40</v>
      </c>
      <c r="C12" s="3" t="n">
        <v>2</v>
      </c>
      <c r="D12" s="4" t="s">
        <v>41</v>
      </c>
      <c r="E12" s="2" t="s">
        <v>42</v>
      </c>
      <c r="F12" s="5" t="n">
        <v>10</v>
      </c>
      <c r="G12" s="5" t="n">
        <f aca="false">IF(OR(C12="",F12=""),"",C12*F12)</f>
        <v>20</v>
      </c>
    </row>
    <row r="13" customFormat="false" ht="15" hidden="false" customHeight="false" outlineLevel="0" collapsed="false">
      <c r="A13" s="2" t="s">
        <v>27</v>
      </c>
      <c r="B13" s="2" t="s">
        <v>43</v>
      </c>
      <c r="C13" s="3" t="n">
        <v>2</v>
      </c>
      <c r="D13" s="4" t="s">
        <v>44</v>
      </c>
      <c r="E13" s="2" t="s">
        <v>45</v>
      </c>
      <c r="F13" s="5" t="n">
        <v>15.8</v>
      </c>
      <c r="G13" s="5" t="n">
        <f aca="false">IF(OR(C13="",F13=""),"",C13*F13)</f>
        <v>31.6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3" t="n">
        <v>1</v>
      </c>
      <c r="D14" s="4"/>
      <c r="E14" s="2" t="s">
        <v>48</v>
      </c>
      <c r="F14" s="5" t="n">
        <v>25</v>
      </c>
      <c r="G14" s="5" t="n">
        <f aca="false">IF(OR(C14="",F14=""),"",C14*F14)</f>
        <v>25</v>
      </c>
    </row>
    <row r="15" customFormat="false" ht="15" hidden="false" customHeight="false" outlineLevel="0" collapsed="false">
      <c r="A15" s="2" t="s">
        <v>46</v>
      </c>
      <c r="B15" s="2" t="s">
        <v>49</v>
      </c>
      <c r="C15" s="3" t="n">
        <v>2</v>
      </c>
      <c r="D15" s="4" t="s">
        <v>50</v>
      </c>
      <c r="E15" s="2" t="s">
        <v>51</v>
      </c>
      <c r="F15" s="5" t="n">
        <v>19.99</v>
      </c>
      <c r="G15" s="5" t="n">
        <f aca="false">IF(OR(C15="",F15=""),"",C15*F15)</f>
        <v>39.98</v>
      </c>
    </row>
    <row r="16" customFormat="false" ht="15" hidden="false" customHeight="false" outlineLevel="0" collapsed="false">
      <c r="A16" s="2" t="s">
        <v>46</v>
      </c>
      <c r="B16" s="2" t="s">
        <v>52</v>
      </c>
      <c r="C16" s="3" t="n">
        <v>2</v>
      </c>
      <c r="D16" s="4" t="s">
        <v>53</v>
      </c>
      <c r="E16" s="2" t="s">
        <v>26</v>
      </c>
      <c r="F16" s="5" t="n">
        <v>11.5</v>
      </c>
      <c r="G16" s="5" t="n">
        <f aca="false">IF(OR(C16="",F16=""),"",C16*F16)</f>
        <v>23</v>
      </c>
    </row>
    <row r="17" customFormat="false" ht="15" hidden="false" customHeight="false" outlineLevel="0" collapsed="false">
      <c r="A17" s="2" t="s">
        <v>46</v>
      </c>
      <c r="B17" s="2" t="s">
        <v>54</v>
      </c>
      <c r="C17" s="3" t="n">
        <v>2</v>
      </c>
      <c r="D17" s="4" t="s">
        <v>55</v>
      </c>
      <c r="E17" s="2" t="s">
        <v>56</v>
      </c>
      <c r="F17" s="5" t="n">
        <v>8</v>
      </c>
      <c r="G17" s="5" t="n">
        <f aca="false">IF(OR(C17="",F17=""),"",C17*F17)</f>
        <v>16</v>
      </c>
    </row>
    <row r="18" customFormat="false" ht="15" hidden="false" customHeight="false" outlineLevel="0" collapsed="false">
      <c r="A18" s="2" t="s">
        <v>46</v>
      </c>
      <c r="B18" s="2" t="s">
        <v>57</v>
      </c>
      <c r="C18" s="3" t="n">
        <v>2</v>
      </c>
      <c r="D18" s="4" t="s">
        <v>58</v>
      </c>
      <c r="E18" s="2" t="s">
        <v>59</v>
      </c>
      <c r="F18" s="5" t="n">
        <v>12</v>
      </c>
      <c r="G18" s="5" t="n">
        <f aca="false">IF(OR(C18="",F18=""),"",C18*F18)</f>
        <v>24</v>
      </c>
    </row>
    <row r="19" customFormat="false" ht="15" hidden="false" customHeight="false" outlineLevel="0" collapsed="false">
      <c r="A19" s="2" t="s">
        <v>46</v>
      </c>
      <c r="B19" s="2" t="s">
        <v>60</v>
      </c>
      <c r="C19" s="3" t="n">
        <v>1</v>
      </c>
      <c r="D19" s="4" t="s">
        <v>61</v>
      </c>
      <c r="E19" s="2" t="s">
        <v>10</v>
      </c>
      <c r="F19" s="5" t="n">
        <v>21</v>
      </c>
      <c r="G19" s="5" t="n">
        <f aca="false">IF(OR(C19="",F19=""),"",C19*F19)</f>
        <v>21</v>
      </c>
    </row>
    <row r="20" customFormat="false" ht="15" hidden="false" customHeight="false" outlineLevel="0" collapsed="false">
      <c r="A20" s="2" t="s">
        <v>46</v>
      </c>
      <c r="B20" s="2" t="s">
        <v>62</v>
      </c>
      <c r="C20" s="3" t="n">
        <v>2</v>
      </c>
      <c r="D20" s="4" t="s">
        <v>63</v>
      </c>
      <c r="E20" s="2" t="s">
        <v>64</v>
      </c>
      <c r="F20" s="5" t="n">
        <v>23</v>
      </c>
      <c r="G20" s="5" t="n">
        <f aca="false">IF(OR(C20="",F20=""),"",C20*F20)</f>
        <v>46</v>
      </c>
    </row>
    <row r="21" customFormat="false" ht="15" hidden="false" customHeight="false" outlineLevel="0" collapsed="false">
      <c r="A21" s="2" t="s">
        <v>46</v>
      </c>
      <c r="B21" s="2" t="s">
        <v>65</v>
      </c>
      <c r="C21" s="3" t="n">
        <v>5</v>
      </c>
      <c r="D21" s="4" t="s">
        <v>66</v>
      </c>
      <c r="E21" s="2" t="s">
        <v>67</v>
      </c>
      <c r="F21" s="5" t="n">
        <v>9</v>
      </c>
      <c r="G21" s="5" t="n">
        <f aca="false">IF(OR(C21="",F21=""),"",C21*F21)</f>
        <v>45</v>
      </c>
    </row>
    <row r="22" customFormat="false" ht="15" hidden="false" customHeight="false" outlineLevel="0" collapsed="false">
      <c r="A22" s="2" t="s">
        <v>68</v>
      </c>
      <c r="B22" s="2" t="s">
        <v>69</v>
      </c>
      <c r="C22" s="3" t="n">
        <v>2</v>
      </c>
      <c r="D22" s="4" t="s">
        <v>70</v>
      </c>
      <c r="E22" s="2" t="s">
        <v>71</v>
      </c>
      <c r="F22" s="5" t="n">
        <v>10.5</v>
      </c>
      <c r="G22" s="5" t="n">
        <f aca="false">IF(OR(C22="",F22=""),"",C22*F22)</f>
        <v>21</v>
      </c>
    </row>
    <row r="23" customFormat="false" ht="15" hidden="false" customHeight="false" outlineLevel="0" collapsed="false">
      <c r="A23" s="2" t="s">
        <v>68</v>
      </c>
      <c r="B23" s="2" t="s">
        <v>72</v>
      </c>
      <c r="C23" s="3" t="n">
        <v>2</v>
      </c>
      <c r="D23" s="4" t="s">
        <v>73</v>
      </c>
      <c r="E23" s="2" t="s">
        <v>74</v>
      </c>
      <c r="F23" s="5" t="n">
        <v>16</v>
      </c>
      <c r="G23" s="5" t="n">
        <f aca="false">IF(OR(C23="",F23=""),"",C23*F23)</f>
        <v>32</v>
      </c>
    </row>
    <row r="24" customFormat="false" ht="15" hidden="false" customHeight="false" outlineLevel="0" collapsed="false">
      <c r="A24" s="2" t="s">
        <v>68</v>
      </c>
      <c r="B24" s="2" t="s">
        <v>75</v>
      </c>
      <c r="C24" s="3" t="n">
        <v>2</v>
      </c>
      <c r="D24" s="4" t="s">
        <v>76</v>
      </c>
      <c r="E24" s="2" t="s">
        <v>77</v>
      </c>
      <c r="F24" s="5" t="n">
        <v>17</v>
      </c>
      <c r="G24" s="5" t="n">
        <f aca="false">IF(OR(C24="",F24=""),"",C24*F24)</f>
        <v>34</v>
      </c>
    </row>
    <row r="25" customFormat="false" ht="15" hidden="false" customHeight="false" outlineLevel="0" collapsed="false">
      <c r="A25" s="2" t="s">
        <v>78</v>
      </c>
      <c r="B25" s="2" t="s">
        <v>79</v>
      </c>
      <c r="C25" s="3" t="n">
        <v>6</v>
      </c>
      <c r="D25" s="4" t="s">
        <v>80</v>
      </c>
      <c r="E25" s="2" t="s">
        <v>16</v>
      </c>
      <c r="F25" s="5" t="n">
        <v>11.5</v>
      </c>
      <c r="G25" s="5" t="n">
        <f aca="false">IF(OR(C25="",F25=""),"",C25*F25)</f>
        <v>69</v>
      </c>
    </row>
    <row r="26" customFormat="false" ht="15" hidden="false" customHeight="false" outlineLevel="0" collapsed="false">
      <c r="A26" s="2" t="s">
        <v>81</v>
      </c>
      <c r="B26" s="2" t="s">
        <v>82</v>
      </c>
      <c r="C26" s="3" t="n">
        <v>2</v>
      </c>
      <c r="D26" s="4" t="s">
        <v>83</v>
      </c>
      <c r="E26" s="2" t="s">
        <v>19</v>
      </c>
      <c r="F26" s="5" t="n">
        <v>10.5</v>
      </c>
      <c r="G26" s="5" t="n">
        <f aca="false">IF(OR(C26="",F26=""),"",C26*F26)</f>
        <v>21</v>
      </c>
    </row>
    <row r="27" customFormat="false" ht="15" hidden="false" customHeight="false" outlineLevel="0" collapsed="false">
      <c r="A27" s="2" t="s">
        <v>84</v>
      </c>
      <c r="B27" s="2" t="s">
        <v>85</v>
      </c>
      <c r="C27" s="3" t="n">
        <v>1</v>
      </c>
      <c r="D27" s="4" t="s">
        <v>86</v>
      </c>
      <c r="E27" s="2" t="s">
        <v>87</v>
      </c>
      <c r="F27" s="5" t="n">
        <v>11.5</v>
      </c>
      <c r="G27" s="5" t="n">
        <f aca="false">IF(OR(C27="",F27=""),"",C27*F27)</f>
        <v>11.5</v>
      </c>
    </row>
    <row r="28" customFormat="false" ht="15" hidden="false" customHeight="false" outlineLevel="0" collapsed="false">
      <c r="A28" s="2" t="s">
        <v>84</v>
      </c>
      <c r="B28" s="2" t="s">
        <v>88</v>
      </c>
      <c r="C28" s="3" t="n">
        <v>3</v>
      </c>
      <c r="D28" s="4" t="s">
        <v>89</v>
      </c>
      <c r="E28" s="2" t="s">
        <v>90</v>
      </c>
      <c r="F28" s="5" t="n">
        <v>9</v>
      </c>
      <c r="G28" s="5" t="n">
        <f aca="false">IF(OR(C28="",F28=""),"",C28*F28)</f>
        <v>27</v>
      </c>
    </row>
    <row r="29" customFormat="false" ht="15" hidden="false" customHeight="false" outlineLevel="0" collapsed="false">
      <c r="A29" s="2" t="s">
        <v>91</v>
      </c>
      <c r="B29" s="2" t="s">
        <v>92</v>
      </c>
      <c r="C29" s="3" t="n">
        <v>3</v>
      </c>
      <c r="D29" s="4" t="s">
        <v>93</v>
      </c>
      <c r="E29" s="2" t="s">
        <v>94</v>
      </c>
      <c r="F29" s="5" t="n">
        <v>8.5</v>
      </c>
      <c r="G29" s="5" t="n">
        <f aca="false">IF(OR(C29="",F29=""),"",C29*F29)</f>
        <v>25.5</v>
      </c>
    </row>
    <row r="30" customFormat="false" ht="15" hidden="false" customHeight="false" outlineLevel="0" collapsed="false">
      <c r="A30" s="2" t="s">
        <v>91</v>
      </c>
      <c r="B30" s="2" t="s">
        <v>95</v>
      </c>
      <c r="C30" s="3" t="n">
        <v>4</v>
      </c>
      <c r="D30" s="4" t="s">
        <v>96</v>
      </c>
      <c r="E30" s="2" t="s">
        <v>56</v>
      </c>
      <c r="F30" s="5" t="n">
        <v>9</v>
      </c>
      <c r="G30" s="5" t="n">
        <f aca="false">IF(OR(C30="",F30=""),"",C30*F30)</f>
        <v>36</v>
      </c>
    </row>
    <row r="31" customFormat="false" ht="15" hidden="false" customHeight="false" outlineLevel="0" collapsed="false">
      <c r="A31" s="2" t="s">
        <v>91</v>
      </c>
      <c r="B31" s="2" t="s">
        <v>97</v>
      </c>
      <c r="C31" s="3" t="n">
        <v>2</v>
      </c>
      <c r="D31" s="4" t="s">
        <v>98</v>
      </c>
      <c r="E31" s="2" t="s">
        <v>99</v>
      </c>
      <c r="F31" s="5" t="n">
        <v>10.5</v>
      </c>
      <c r="G31" s="5" t="n">
        <f aca="false">IF(OR(C31="",F31=""),"",C31*F31)</f>
        <v>21</v>
      </c>
    </row>
    <row r="32" customFormat="false" ht="15" hidden="false" customHeight="false" outlineLevel="0" collapsed="false">
      <c r="A32" s="2" t="s">
        <v>91</v>
      </c>
      <c r="B32" s="2" t="s">
        <v>100</v>
      </c>
      <c r="C32" s="3" t="n">
        <v>2</v>
      </c>
      <c r="D32" s="4" t="s">
        <v>101</v>
      </c>
      <c r="E32" s="2" t="s">
        <v>26</v>
      </c>
      <c r="F32" s="5" t="n">
        <v>10.25</v>
      </c>
      <c r="G32" s="5" t="n">
        <f aca="false">IF(OR(C32="",F32=""),"",C32*F32)</f>
        <v>20.5</v>
      </c>
    </row>
    <row r="33" customFormat="false" ht="15" hidden="false" customHeight="false" outlineLevel="0" collapsed="false">
      <c r="A33" s="2" t="s">
        <v>91</v>
      </c>
      <c r="B33" s="2" t="s">
        <v>102</v>
      </c>
      <c r="C33" s="3" t="n">
        <v>2</v>
      </c>
      <c r="D33" s="4" t="s">
        <v>103</v>
      </c>
      <c r="E33" s="2" t="s">
        <v>104</v>
      </c>
      <c r="F33" s="5" t="n">
        <v>7</v>
      </c>
      <c r="G33" s="5" t="n">
        <f aca="false">IF(OR(C33="",F33=""),"",C33*F33)</f>
        <v>14</v>
      </c>
    </row>
    <row r="34" customFormat="false" ht="15" hidden="false" customHeight="false" outlineLevel="0" collapsed="false">
      <c r="A34" s="2" t="s">
        <v>91</v>
      </c>
      <c r="B34" s="2" t="s">
        <v>105</v>
      </c>
      <c r="C34" s="3" t="n">
        <v>3</v>
      </c>
      <c r="D34" s="4" t="s">
        <v>106</v>
      </c>
      <c r="E34" s="2" t="s">
        <v>26</v>
      </c>
      <c r="F34" s="5" t="n">
        <v>10</v>
      </c>
      <c r="G34" s="5" t="n">
        <f aca="false">IF(OR(C34="",F34=""),"",C34*F34)</f>
        <v>30</v>
      </c>
    </row>
    <row r="35" customFormat="false" ht="15" hidden="false" customHeight="false" outlineLevel="0" collapsed="false">
      <c r="A35" s="2" t="s">
        <v>91</v>
      </c>
      <c r="B35" s="2" t="s">
        <v>107</v>
      </c>
      <c r="C35" s="3" t="n">
        <v>2</v>
      </c>
      <c r="D35" s="4" t="s">
        <v>108</v>
      </c>
      <c r="E35" s="2" t="s">
        <v>109</v>
      </c>
      <c r="F35" s="5" t="n">
        <v>11.5</v>
      </c>
      <c r="G35" s="5" t="n">
        <f aca="false">IF(OR(C35="",F35=""),"",C35*F35)</f>
        <v>23</v>
      </c>
    </row>
    <row r="36" customFormat="false" ht="15" hidden="false" customHeight="false" outlineLevel="0" collapsed="false">
      <c r="A36" s="2" t="s">
        <v>91</v>
      </c>
      <c r="B36" s="2" t="s">
        <v>110</v>
      </c>
      <c r="C36" s="3" t="n">
        <v>1</v>
      </c>
      <c r="D36" s="4" t="s">
        <v>41</v>
      </c>
      <c r="E36" s="2" t="s">
        <v>111</v>
      </c>
      <c r="F36" s="5"/>
      <c r="G36" s="5" t="str">
        <f aca="false">IF(OR(C36="",F36=""),"",C36*F36)</f>
        <v/>
      </c>
    </row>
    <row r="37" customFormat="false" ht="15" hidden="false" customHeight="false" outlineLevel="0" collapsed="false">
      <c r="A37" s="2" t="s">
        <v>112</v>
      </c>
      <c r="B37" s="2" t="s">
        <v>113</v>
      </c>
      <c r="C37" s="3" t="n">
        <v>4</v>
      </c>
      <c r="D37" s="4" t="s">
        <v>114</v>
      </c>
      <c r="E37" s="2" t="s">
        <v>39</v>
      </c>
      <c r="F37" s="5" t="n">
        <v>17</v>
      </c>
      <c r="G37" s="5" t="n">
        <f aca="false">IF(OR(C37="",F37=""),"",C37*F37)</f>
        <v>68</v>
      </c>
    </row>
    <row r="38" customFormat="false" ht="15" hidden="false" customHeight="false" outlineLevel="0" collapsed="false">
      <c r="A38" s="2" t="s">
        <v>112</v>
      </c>
      <c r="B38" s="2" t="s">
        <v>115</v>
      </c>
      <c r="C38" s="3" t="n">
        <v>4</v>
      </c>
      <c r="D38" s="4" t="s">
        <v>116</v>
      </c>
      <c r="E38" s="2" t="s">
        <v>48</v>
      </c>
      <c r="F38" s="5" t="n">
        <v>15</v>
      </c>
      <c r="G38" s="5" t="n">
        <f aca="false">IF(OR(C38="",F38=""),"",C38*F38)</f>
        <v>60</v>
      </c>
    </row>
    <row r="39" customFormat="false" ht="15" hidden="false" customHeight="false" outlineLevel="0" collapsed="false">
      <c r="A39" s="2" t="s">
        <v>112</v>
      </c>
      <c r="B39" s="2" t="s">
        <v>117</v>
      </c>
      <c r="C39" s="3" t="n">
        <v>4</v>
      </c>
      <c r="D39" s="4"/>
      <c r="E39" s="2" t="s">
        <v>94</v>
      </c>
      <c r="F39" s="5" t="n">
        <v>5.5</v>
      </c>
      <c r="G39" s="5" t="n">
        <f aca="false">IF(OR(C39="",F39=""),"",C39*F39)</f>
        <v>22</v>
      </c>
    </row>
    <row r="40" customFormat="false" ht="15" hidden="false" customHeight="false" outlineLevel="0" collapsed="false">
      <c r="A40" s="2" t="s">
        <v>118</v>
      </c>
      <c r="B40" s="2" t="s">
        <v>119</v>
      </c>
      <c r="C40" s="3" t="n">
        <v>2</v>
      </c>
      <c r="D40" s="4" t="s">
        <v>120</v>
      </c>
      <c r="E40" s="2" t="s">
        <v>121</v>
      </c>
      <c r="F40" s="5" t="n">
        <v>22.5</v>
      </c>
      <c r="G40" s="5" t="n">
        <f aca="false">IF(OR(C40="",F40=""),"",C40*F40)</f>
        <v>45</v>
      </c>
    </row>
    <row r="41" customFormat="false" ht="15" hidden="false" customHeight="false" outlineLevel="0" collapsed="false">
      <c r="A41" s="2" t="s">
        <v>122</v>
      </c>
      <c r="B41" s="2" t="s">
        <v>123</v>
      </c>
      <c r="C41" s="3" t="n">
        <v>2</v>
      </c>
      <c r="D41" s="4" t="s">
        <v>124</v>
      </c>
      <c r="E41" s="2" t="s">
        <v>125</v>
      </c>
      <c r="F41" s="5" t="n">
        <v>22.5</v>
      </c>
      <c r="G41" s="5" t="n">
        <f aca="false">IF(OR(C41="",F41=""),"",C41*F41)</f>
        <v>45</v>
      </c>
    </row>
    <row r="42" customFormat="false" ht="15" hidden="false" customHeight="false" outlineLevel="0" collapsed="false">
      <c r="A42" s="2" t="s">
        <v>126</v>
      </c>
      <c r="B42" s="2" t="s">
        <v>127</v>
      </c>
      <c r="C42" s="3" t="n">
        <v>3</v>
      </c>
      <c r="D42" s="4" t="s">
        <v>128</v>
      </c>
      <c r="E42" s="2" t="s">
        <v>129</v>
      </c>
      <c r="F42" s="5" t="n">
        <v>11.5</v>
      </c>
      <c r="G42" s="5" t="n">
        <f aca="false">IF(OR(C42="",F42=""),"",C42*F42)</f>
        <v>34.5</v>
      </c>
    </row>
    <row r="43" customFormat="false" ht="15" hidden="false" customHeight="false" outlineLevel="0" collapsed="false">
      <c r="A43" s="2" t="s">
        <v>130</v>
      </c>
      <c r="B43" s="2" t="s">
        <v>131</v>
      </c>
      <c r="C43" s="3" t="n">
        <v>2</v>
      </c>
      <c r="D43" s="4" t="s">
        <v>132</v>
      </c>
      <c r="E43" s="2" t="s">
        <v>16</v>
      </c>
      <c r="F43" s="5" t="n">
        <v>12</v>
      </c>
      <c r="G43" s="5" t="n">
        <f aca="false">IF(OR(C43="",F43=""),"",C43*F43)</f>
        <v>24</v>
      </c>
    </row>
    <row r="44" customFormat="false" ht="15" hidden="false" customHeight="false" outlineLevel="0" collapsed="false">
      <c r="A44" s="2" t="s">
        <v>130</v>
      </c>
      <c r="B44" s="2" t="s">
        <v>133</v>
      </c>
      <c r="C44" s="3" t="n">
        <v>2</v>
      </c>
      <c r="D44" s="4" t="s">
        <v>134</v>
      </c>
      <c r="E44" s="2" t="s">
        <v>59</v>
      </c>
      <c r="F44" s="5" t="n">
        <v>12.8</v>
      </c>
      <c r="G44" s="5" t="n">
        <f aca="false">IF(OR(C44="",F44=""),"",C44*F44)</f>
        <v>25.6</v>
      </c>
    </row>
    <row r="45" customFormat="false" ht="15" hidden="false" customHeight="false" outlineLevel="0" collapsed="false">
      <c r="A45" s="2" t="s">
        <v>135</v>
      </c>
      <c r="B45" s="2" t="s">
        <v>136</v>
      </c>
      <c r="C45" s="3" t="n">
        <v>2</v>
      </c>
      <c r="D45" s="4" t="s">
        <v>137</v>
      </c>
      <c r="E45" s="2" t="s">
        <v>138</v>
      </c>
      <c r="F45" s="5" t="n">
        <v>27</v>
      </c>
      <c r="G45" s="5" t="n">
        <f aca="false">IF(OR(C45="",F45=""),"",C45*F45)</f>
        <v>54</v>
      </c>
    </row>
    <row r="46" customFormat="false" ht="15" hidden="false" customHeight="false" outlineLevel="0" collapsed="false">
      <c r="A46" s="2" t="s">
        <v>135</v>
      </c>
      <c r="B46" s="2" t="s">
        <v>139</v>
      </c>
      <c r="C46" s="3" t="n">
        <v>1</v>
      </c>
      <c r="D46" s="4" t="s">
        <v>140</v>
      </c>
      <c r="E46" s="2" t="s">
        <v>141</v>
      </c>
      <c r="F46" s="5" t="n">
        <v>16</v>
      </c>
      <c r="G46" s="5" t="n">
        <f aca="false">IF(OR(C46="",F46=""),"",C46*F46)</f>
        <v>16</v>
      </c>
    </row>
    <row r="47" customFormat="false" ht="15" hidden="false" customHeight="false" outlineLevel="0" collapsed="false">
      <c r="A47" s="2" t="s">
        <v>135</v>
      </c>
      <c r="B47" s="2" t="s">
        <v>142</v>
      </c>
      <c r="C47" s="3" t="n">
        <v>1</v>
      </c>
      <c r="D47" s="4" t="s">
        <v>143</v>
      </c>
      <c r="E47" s="2" t="s">
        <v>74</v>
      </c>
      <c r="F47" s="5" t="n">
        <v>20</v>
      </c>
      <c r="G47" s="5" t="n">
        <f aca="false">IF(OR(C47="",F47=""),"",C47*F47)</f>
        <v>20</v>
      </c>
    </row>
    <row r="48" customFormat="false" ht="15" hidden="false" customHeight="false" outlineLevel="0" collapsed="false">
      <c r="A48" s="2" t="s">
        <v>144</v>
      </c>
      <c r="B48" s="2" t="s">
        <v>145</v>
      </c>
      <c r="C48" s="3"/>
      <c r="D48" s="4"/>
      <c r="E48" s="2" t="s">
        <v>16</v>
      </c>
      <c r="F48" s="5" t="n">
        <v>14.5</v>
      </c>
      <c r="G48" s="5" t="str">
        <f aca="false">IF(OR(C48="",F48=""),"",C48*F48)</f>
        <v/>
      </c>
    </row>
    <row r="49" customFormat="false" ht="15" hidden="false" customHeight="false" outlineLevel="0" collapsed="false">
      <c r="A49" s="2" t="s">
        <v>146</v>
      </c>
      <c r="B49" s="2" t="s">
        <v>147</v>
      </c>
      <c r="C49" s="3" t="n">
        <v>2</v>
      </c>
      <c r="D49" s="4" t="s">
        <v>148</v>
      </c>
      <c r="E49" s="2" t="s">
        <v>26</v>
      </c>
      <c r="F49" s="5" t="n">
        <v>11</v>
      </c>
      <c r="G49" s="5" t="n">
        <f aca="false">IF(OR(C49="",F49=""),"",C49*F49)</f>
        <v>22</v>
      </c>
    </row>
    <row r="50" customFormat="false" ht="15" hidden="false" customHeight="false" outlineLevel="0" collapsed="false">
      <c r="A50" s="2" t="s">
        <v>149</v>
      </c>
      <c r="B50" s="2" t="s">
        <v>150</v>
      </c>
      <c r="C50" s="3" t="n">
        <v>2</v>
      </c>
      <c r="D50" s="4" t="s">
        <v>151</v>
      </c>
      <c r="E50" s="2" t="s">
        <v>56</v>
      </c>
      <c r="F50" s="5" t="n">
        <v>9</v>
      </c>
      <c r="G50" s="5" t="n">
        <f aca="false">IF(OR(C50="",F50=""),"",C50*F50)</f>
        <v>18</v>
      </c>
    </row>
    <row r="51" customFormat="false" ht="15" hidden="false" customHeight="false" outlineLevel="0" collapsed="false">
      <c r="A51" s="2" t="s">
        <v>152</v>
      </c>
      <c r="B51" s="2" t="s">
        <v>153</v>
      </c>
      <c r="C51" s="3" t="n">
        <v>2</v>
      </c>
      <c r="D51" s="4" t="s">
        <v>154</v>
      </c>
      <c r="E51" s="2" t="s">
        <v>56</v>
      </c>
      <c r="F51" s="5" t="n">
        <v>9</v>
      </c>
      <c r="G51" s="5" t="n">
        <f aca="false">IF(OR(C51="",F51=""),"",C51*F51)</f>
        <v>18</v>
      </c>
    </row>
    <row r="52" customFormat="false" ht="15" hidden="false" customHeight="false" outlineLevel="0" collapsed="false">
      <c r="A52" s="6" t="s">
        <v>155</v>
      </c>
      <c r="B52" s="6"/>
      <c r="C52" s="7" t="n">
        <f aca="false">SUM(C2:C51)</f>
        <v>130</v>
      </c>
      <c r="D52" s="6"/>
      <c r="E52" s="6"/>
      <c r="F52" s="6"/>
      <c r="G52" s="8" t="n">
        <f aca="false">SUM(G2:G51)</f>
        <v>1691.6</v>
      </c>
    </row>
  </sheetData>
  <autoFilter ref="A1:G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9" t="s">
        <v>156</v>
      </c>
    </row>
    <row r="2" customFormat="false" ht="15" hidden="false" customHeight="false" outlineLevel="0" collapsed="false">
      <c r="A2" s="10" t="s">
        <v>157</v>
      </c>
      <c r="B2" s="11" t="n">
        <v>136.4</v>
      </c>
    </row>
    <row r="3" customFormat="false" ht="15" hidden="false" customHeight="false" outlineLevel="0" collapsed="false">
      <c r="A3" s="10" t="s">
        <v>158</v>
      </c>
      <c r="B3" s="11" t="n">
        <v>250.58</v>
      </c>
    </row>
    <row r="4" customFormat="false" ht="15" hidden="false" customHeight="false" outlineLevel="0" collapsed="false">
      <c r="A4" s="10" t="s">
        <v>159</v>
      </c>
      <c r="B4" s="12" t="n">
        <v>19</v>
      </c>
    </row>
    <row r="5" customFormat="false" ht="15" hidden="false" customHeight="false" outlineLevel="0" collapsed="false">
      <c r="A5" s="10" t="s">
        <v>160</v>
      </c>
      <c r="B5" s="12" t="n">
        <v>134</v>
      </c>
    </row>
    <row r="6" customFormat="false" ht="15" hidden="false" customHeight="false" outlineLevel="0" collapsed="false">
      <c r="A6" s="10" t="s">
        <v>161</v>
      </c>
      <c r="B6" s="13" t="n">
        <f aca="false">Productos!C52</f>
        <v>130</v>
      </c>
    </row>
    <row r="7" customFormat="false" ht="15" hidden="false" customHeight="false" outlineLevel="0" collapsed="false">
      <c r="A7" s="10" t="s">
        <v>162</v>
      </c>
      <c r="B7" s="13" t="n">
        <f aca="false">B6-B5</f>
        <v>-4</v>
      </c>
    </row>
    <row r="9" customFormat="false" ht="15" hidden="false" customHeight="true" outlineLevel="0" collapsed="false">
      <c r="A9" s="14" t="s">
        <v>163</v>
      </c>
      <c r="B9" s="14"/>
    </row>
    <row r="10" customFormat="false" ht="15" hidden="false" customHeight="false" outlineLevel="0" collapsed="false">
      <c r="A10" s="14"/>
      <c r="B10" s="14"/>
    </row>
    <row r="11" customFormat="false" ht="15" hidden="false" customHeight="false" outlineLevel="0" collapsed="false">
      <c r="A11" s="14"/>
      <c r="B11" s="14"/>
    </row>
    <row r="12" customFormat="false" ht="15" hidden="false" customHeight="false" outlineLevel="0" collapsed="false">
      <c r="A12" s="14"/>
      <c r="B12" s="14"/>
    </row>
  </sheetData>
  <mergeCells count="1">
    <mergeCell ref="A9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2026-10-15T18:18:39Z</dcterms:created>
  <dc:creator>openpyxl</dc:creator>
  <dc:description/>
  <dc:language>en-US</dc:language>
  <cp:lastModifiedBy/>
  <dcterms:modified xsi:type="dcterms:W3CDTF">2026-10-15T18:18:39Z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